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esktop\PEDRO AMARAL\"/>
    </mc:Choice>
  </mc:AlternateContent>
  <xr:revisionPtr revIDLastSave="0" documentId="13_ncr:1_{7BDDD664-3A47-4C44-A538-756457CFF2E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Lista de filmes" sheetId="1" r:id="rId1"/>
    <sheet name="Pesquisar" sheetId="2" r:id="rId2"/>
  </sheets>
  <calcPr calcId="191029"/>
</workbook>
</file>

<file path=xl/calcChain.xml><?xml version="1.0" encoding="utf-8"?>
<calcChain xmlns="http://schemas.openxmlformats.org/spreadsheetml/2006/main">
  <c r="B12" i="2" l="1"/>
  <c r="B11" i="2"/>
  <c r="B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00000000-0006-0000-0000-000001000000}">
      <text>
        <r>
          <rPr>
            <sz val="11"/>
            <color theme="1"/>
            <rFont val="calibri"/>
            <scheme val="minor"/>
          </rPr>
          <t>Jorge Andre Jorge Andre:
Ano de criação ou lançamento do filme</t>
        </r>
      </text>
    </comment>
    <comment ref="C16" authorId="0" shapeId="0" xr:uid="{00000000-0006-0000-0000-000002000000}">
      <text>
        <r>
          <rPr>
            <sz val="11"/>
            <color theme="1"/>
            <rFont val="calibri"/>
            <scheme val="minor"/>
          </rPr>
          <t>Jorge Andre Jorge Andre:
Nome do filme</t>
        </r>
      </text>
    </comment>
    <comment ref="D16" authorId="0" shapeId="0" xr:uid="{00000000-0006-0000-0000-000003000000}">
      <text>
        <r>
          <rPr>
            <sz val="11"/>
            <color theme="1"/>
            <rFont val="calibri"/>
            <scheme val="minor"/>
          </rPr>
          <t>Jorge Andre Jorge Andre:
Quantas estrelas o filme está avaliado</t>
        </r>
      </text>
    </comment>
    <comment ref="E16" authorId="0" shapeId="0" xr:uid="{00000000-0006-0000-0000-000004000000}">
      <text>
        <r>
          <rPr>
            <sz val="11"/>
            <color theme="1"/>
            <rFont val="calibri"/>
            <scheme val="minor"/>
          </rPr>
          <t>Jorge Andre Jorge Andre:
Nome de alguns dos personagens do filme</t>
        </r>
      </text>
    </comment>
    <comment ref="F16" authorId="0" shapeId="0" xr:uid="{00000000-0006-0000-0000-000005000000}">
      <text>
        <r>
          <rPr>
            <sz val="11"/>
            <color theme="1"/>
            <rFont val="calibri"/>
            <scheme val="minor"/>
          </rPr>
          <t>Jorge Andre Jorge Andre:
Gênero do filme, exemplo: Drama, comédia, etc...</t>
        </r>
      </text>
    </comment>
    <comment ref="G16" authorId="0" shapeId="0" xr:uid="{00000000-0006-0000-0000-000006000000}">
      <text>
        <r>
          <rPr>
            <sz val="11"/>
            <color theme="1"/>
            <rFont val="calibri"/>
            <scheme val="minor"/>
          </rPr>
          <t xml:space="preserve">Jorge Andre Jorge Andre:
Classificação quanto a idade para assistir
</t>
        </r>
      </text>
    </comment>
  </commentList>
</comments>
</file>

<file path=xl/sharedStrings.xml><?xml version="1.0" encoding="utf-8"?>
<sst xmlns="http://schemas.openxmlformats.org/spreadsheetml/2006/main" count="50" uniqueCount="45">
  <si>
    <t>Coluna1</t>
  </si>
  <si>
    <t>Coluna2</t>
  </si>
  <si>
    <t>Coluna3</t>
  </si>
  <si>
    <t>Coluna4</t>
  </si>
  <si>
    <t>Coluna5</t>
  </si>
  <si>
    <t>Coluna6</t>
  </si>
  <si>
    <t>Coluna7</t>
  </si>
  <si>
    <t>ID</t>
  </si>
  <si>
    <t>ANO</t>
  </si>
  <si>
    <t>TÍTULO</t>
  </si>
  <si>
    <t>AVALIAÇÃO</t>
  </si>
  <si>
    <t>ELENCO</t>
  </si>
  <si>
    <t>GÊNERO</t>
  </si>
  <si>
    <t>CLASSIFICAÇÃO</t>
  </si>
  <si>
    <t>Nome:</t>
  </si>
  <si>
    <t>Turma:</t>
  </si>
  <si>
    <t>Horário da aula:</t>
  </si>
  <si>
    <t>E-mail</t>
  </si>
  <si>
    <t>Título</t>
  </si>
  <si>
    <t>Elenco</t>
  </si>
  <si>
    <t>Classificação</t>
  </si>
  <si>
    <t>12 Homens e uma Sentença</t>
  </si>
  <si>
    <t>9.0</t>
  </si>
  <si>
    <t>Henry Fonda</t>
  </si>
  <si>
    <t>Crime/Drama</t>
  </si>
  <si>
    <t>Livre</t>
  </si>
  <si>
    <t>Psicose</t>
  </si>
  <si>
    <t>8.5</t>
  </si>
  <si>
    <t>Anthony Perkins</t>
  </si>
  <si>
    <t>Terror, Mistério, Suspense</t>
  </si>
  <si>
    <t>Cidadão Kane</t>
  </si>
  <si>
    <t>8.3</t>
  </si>
  <si>
    <t>Orson Welles</t>
  </si>
  <si>
    <t>Drama, Mistério</t>
  </si>
  <si>
    <t>Casablanca</t>
  </si>
  <si>
    <t>Humphrey Bogart</t>
  </si>
  <si>
    <t>Drama, Romance</t>
  </si>
  <si>
    <t>.E o Vento Levou</t>
  </si>
  <si>
    <t>8.2</t>
  </si>
  <si>
    <t>Clark Gable</t>
  </si>
  <si>
    <t>Drama, Romance, Guerra</t>
  </si>
  <si>
    <t xml:space="preserve">PEDRO PAULO COSTA DO AMARAL </t>
  </si>
  <si>
    <t>ADM BANCO DE DADOS</t>
  </si>
  <si>
    <t>VESPERTINO</t>
  </si>
  <si>
    <t>pedropaulocostadoamaral@gmail.com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</si>
</sst>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sz val="11"/>
      <name val="calibri"/>
    </font>
    <font>
      <b/>
      <sz val="12"/>
      <color theme="1"/>
      <name val="Calibri"/>
    </font>
    <font>
      <sz val="11"/>
      <color theme="1"/>
      <name val="calibri"/>
      <family val="2"/>
    </font>
    <font>
      <sz val="11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70C0"/>
        <bgColor rgb="FF0070C0"/>
      </patternFill>
    </fill>
    <fill>
      <patternFill patternType="solid">
        <fgColor rgb="FFE7E6E6"/>
        <bgColor rgb="FFE7E6E6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 applyFont="1" applyAlignment="1"/>
    <xf numFmtId="0" fontId="1" fillId="0" borderId="0" xfId="0" applyFont="1"/>
    <xf numFmtId="0" fontId="2" fillId="0" borderId="21" xfId="0" applyFont="1" applyBorder="1"/>
    <xf numFmtId="0" fontId="2" fillId="3" borderId="24" xfId="0" applyFont="1" applyFill="1" applyBorder="1"/>
    <xf numFmtId="0" fontId="2" fillId="4" borderId="24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5" fillId="4" borderId="3" xfId="0" applyFont="1" applyFill="1" applyBorder="1" applyAlignment="1">
      <alignment horizontal="left" vertical="center"/>
    </xf>
    <xf numFmtId="0" fontId="2" fillId="0" borderId="4" xfId="0" applyFont="1" applyBorder="1"/>
    <xf numFmtId="0" fontId="2" fillId="0" borderId="4" xfId="0" applyFont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3" fillId="2" borderId="11" xfId="0" applyFont="1" applyFill="1" applyBorder="1"/>
    <xf numFmtId="0" fontId="4" fillId="0" borderId="12" xfId="0" applyFont="1" applyBorder="1"/>
    <xf numFmtId="0" fontId="4" fillId="0" borderId="14" xfId="0" applyFont="1" applyBorder="1"/>
    <xf numFmtId="0" fontId="4" fillId="0" borderId="15" xfId="0" applyFont="1" applyBorder="1"/>
    <xf numFmtId="0" fontId="3" fillId="2" borderId="16" xfId="0" applyFont="1" applyFill="1" applyBorder="1"/>
    <xf numFmtId="0" fontId="4" fillId="0" borderId="17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3" xfId="0" applyFont="1" applyBorder="1"/>
    <xf numFmtId="0" fontId="7" fillId="0" borderId="25" xfId="0" applyFont="1" applyBorder="1" applyAlignment="1">
      <alignment vertical="center"/>
    </xf>
    <xf numFmtId="0" fontId="6" fillId="0" borderId="25" xfId="0" applyFont="1" applyBorder="1"/>
    <xf numFmtId="0" fontId="6" fillId="0" borderId="8" xfId="0" applyFont="1" applyBorder="1"/>
    <xf numFmtId="0" fontId="6" fillId="0" borderId="13" xfId="0" applyFont="1" applyBorder="1"/>
    <xf numFmtId="0" fontId="6" fillId="0" borderId="18" xfId="0" applyFont="1" applyBorder="1"/>
    <xf numFmtId="0" fontId="6" fillId="0" borderId="25" xfId="0" applyFont="1" applyBorder="1" applyAlignment="1">
      <alignment horizontal="center"/>
    </xf>
    <xf numFmtId="0" fontId="8" fillId="0" borderId="22" xfId="1" applyBorder="1" applyAlignment="1">
      <alignment horizontal="center"/>
    </xf>
  </cellXfs>
  <cellStyles count="2">
    <cellStyle name="Hiperlink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ista de filmes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5</xdr:row>
      <xdr:rowOff>76200</xdr:rowOff>
    </xdr:from>
    <xdr:ext cx="8534400" cy="581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78800" y="3494250"/>
          <a:ext cx="8534400" cy="571500"/>
        </a:xfrm>
        <a:prstGeom prst="rect">
          <a:avLst/>
        </a:prstGeom>
        <a:gradFill>
          <a:gsLst>
            <a:gs pos="0">
              <a:srgbClr val="FFC647"/>
            </a:gs>
            <a:gs pos="50000">
              <a:srgbClr val="FFC600"/>
            </a:gs>
            <a:gs pos="100000">
              <a:srgbClr val="E3B400"/>
            </a:gs>
          </a:gsLst>
          <a:lin ang="5400000" scaled="0"/>
        </a:gradFill>
        <a:ln w="9525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Lista de Filmes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19050</xdr:rowOff>
    </xdr:from>
    <xdr:ext cx="10896600" cy="2600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</xdr:colOff>
      <xdr:row>3</xdr:row>
      <xdr:rowOff>285750</xdr:rowOff>
    </xdr:from>
    <xdr:ext cx="790575" cy="2857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953200" y="3639898"/>
          <a:ext cx="785600" cy="28020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Pesquisar</a:t>
          </a:r>
          <a:endParaRPr sz="1400"/>
        </a:p>
      </xdr:txBody>
    </xdr:sp>
    <xdr:clientData fLocksWithSheet="0"/>
  </xdr:oneCellAnchor>
  <xdr:oneCellAnchor>
    <xdr:from>
      <xdr:col>3</xdr:col>
      <xdr:colOff>133350</xdr:colOff>
      <xdr:row>1</xdr:row>
      <xdr:rowOff>47625</xdr:rowOff>
    </xdr:from>
    <xdr:ext cx="704850" cy="666750"/>
    <xdr:pic>
      <xdr:nvPicPr>
        <xdr:cNvPr id="2" name="image2.png" descr="Pesquisa com preenchimento sóli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5:G21" dataDxfId="0">
  <tableColumns count="7">
    <tableColumn id="1" xr3:uid="{00000000-0010-0000-0000-000001000000}" name="Coluna1" dataDxfId="7"/>
    <tableColumn id="2" xr3:uid="{00000000-0010-0000-0000-000002000000}" name="Coluna2" dataDxfId="6"/>
    <tableColumn id="3" xr3:uid="{00000000-0010-0000-0000-000003000000}" name="Coluna3" dataDxfId="5"/>
    <tableColumn id="4" xr3:uid="{00000000-0010-0000-0000-000004000000}" name="Coluna4" dataDxfId="4"/>
    <tableColumn id="5" xr3:uid="{00000000-0010-0000-0000-000005000000}" name="Coluna5" dataDxfId="3"/>
    <tableColumn id="6" xr3:uid="{00000000-0010-0000-0000-000006000000}" name="Coluna6" dataDxfId="2"/>
    <tableColumn id="7" xr3:uid="{00000000-0010-0000-0000-000007000000}" name="Coluna7" dataDxfId="1"/>
  </tableColumns>
  <tableStyleInfo name="Lista de film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dropaulocostadoamaral@gmail.com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G1000"/>
  <sheetViews>
    <sheetView showGridLines="0" tabSelected="1" topLeftCell="A10" workbookViewId="0">
      <selection activeCell="C27" sqref="C27:D27"/>
    </sheetView>
  </sheetViews>
  <sheetFormatPr defaultColWidth="14.42578125" defaultRowHeight="15" customHeight="1"/>
  <cols>
    <col min="1" max="1" width="4.85546875" customWidth="1"/>
    <col min="2" max="2" width="13" customWidth="1"/>
    <col min="3" max="3" width="31" customWidth="1"/>
    <col min="4" max="4" width="19.5703125" customWidth="1"/>
    <col min="5" max="5" width="43" customWidth="1"/>
    <col min="6" max="6" width="31.42578125" bestFit="1" customWidth="1"/>
    <col min="7" max="7" width="40.42578125" customWidth="1"/>
    <col min="8" max="26" width="9.85546875" customWidth="1"/>
  </cols>
  <sheetData>
    <row r="15" spans="1:7" hidden="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29" t="s">
        <v>7</v>
      </c>
      <c r="B16" s="29" t="s">
        <v>8</v>
      </c>
      <c r="C16" s="29" t="s">
        <v>9</v>
      </c>
      <c r="D16" s="29" t="s">
        <v>10</v>
      </c>
      <c r="E16" s="29" t="s">
        <v>11</v>
      </c>
      <c r="F16" s="29" t="s">
        <v>12</v>
      </c>
      <c r="G16" s="29" t="s">
        <v>13</v>
      </c>
    </row>
    <row r="17" spans="1:7">
      <c r="A17" s="29">
        <v>1</v>
      </c>
      <c r="B17" s="29">
        <v>1957</v>
      </c>
      <c r="C17" s="24" t="s">
        <v>21</v>
      </c>
      <c r="D17" s="29" t="s">
        <v>22</v>
      </c>
      <c r="E17" s="24" t="s">
        <v>23</v>
      </c>
      <c r="F17" s="25" t="s">
        <v>24</v>
      </c>
      <c r="G17" s="29" t="s">
        <v>25</v>
      </c>
    </row>
    <row r="18" spans="1:7">
      <c r="A18" s="29">
        <v>2</v>
      </c>
      <c r="B18" s="29">
        <v>1960</v>
      </c>
      <c r="C18" s="24" t="s">
        <v>26</v>
      </c>
      <c r="D18" s="29" t="s">
        <v>27</v>
      </c>
      <c r="E18" s="24" t="s">
        <v>28</v>
      </c>
      <c r="F18" s="24" t="s">
        <v>29</v>
      </c>
      <c r="G18" s="29">
        <v>14</v>
      </c>
    </row>
    <row r="19" spans="1:7">
      <c r="A19" s="29">
        <v>3</v>
      </c>
      <c r="B19" s="29">
        <v>1941</v>
      </c>
      <c r="C19" s="24" t="s">
        <v>30</v>
      </c>
      <c r="D19" s="29" t="s">
        <v>31</v>
      </c>
      <c r="E19" s="24" t="s">
        <v>32</v>
      </c>
      <c r="F19" s="24" t="s">
        <v>33</v>
      </c>
      <c r="G19" s="29" t="s">
        <v>25</v>
      </c>
    </row>
    <row r="20" spans="1:7">
      <c r="A20" s="29">
        <v>4</v>
      </c>
      <c r="B20" s="29">
        <v>1972</v>
      </c>
      <c r="C20" s="24" t="s">
        <v>34</v>
      </c>
      <c r="D20" s="29" t="s">
        <v>27</v>
      </c>
      <c r="E20" s="24" t="s">
        <v>35</v>
      </c>
      <c r="F20" s="24" t="s">
        <v>36</v>
      </c>
      <c r="G20" s="29" t="s">
        <v>25</v>
      </c>
    </row>
    <row r="21" spans="1:7" ht="15.75" customHeight="1">
      <c r="A21" s="29">
        <v>5</v>
      </c>
      <c r="B21" s="29">
        <v>1939</v>
      </c>
      <c r="C21" s="24" t="s">
        <v>37</v>
      </c>
      <c r="D21" s="29" t="s">
        <v>38</v>
      </c>
      <c r="E21" s="24" t="s">
        <v>39</v>
      </c>
      <c r="F21" s="24" t="s">
        <v>40</v>
      </c>
      <c r="G21" s="29" t="s">
        <v>25</v>
      </c>
    </row>
    <row r="22" spans="1:7" ht="15.75" customHeight="1" thickBot="1"/>
    <row r="23" spans="1:7" ht="15.75" customHeight="1">
      <c r="A23" s="11" t="s">
        <v>14</v>
      </c>
      <c r="B23" s="12"/>
      <c r="C23" s="26" t="s">
        <v>41</v>
      </c>
      <c r="D23" s="13"/>
      <c r="E23" s="14"/>
    </row>
    <row r="24" spans="1:7" ht="15.75" customHeight="1">
      <c r="A24" s="15" t="s">
        <v>15</v>
      </c>
      <c r="B24" s="16"/>
      <c r="C24" s="27" t="s">
        <v>42</v>
      </c>
      <c r="D24" s="17"/>
      <c r="E24" s="18"/>
    </row>
    <row r="25" spans="1:7" ht="15.75" customHeight="1" thickBot="1">
      <c r="A25" s="19" t="s">
        <v>16</v>
      </c>
      <c r="B25" s="20"/>
      <c r="C25" s="28" t="s">
        <v>43</v>
      </c>
      <c r="D25" s="21"/>
      <c r="E25" s="22"/>
    </row>
    <row r="26" spans="1:7" ht="15.75" customHeight="1" thickBot="1"/>
    <row r="27" spans="1:7" ht="15.75" customHeight="1" thickBot="1">
      <c r="B27" s="2" t="s">
        <v>17</v>
      </c>
      <c r="C27" s="30" t="s">
        <v>44</v>
      </c>
      <c r="D27" s="23"/>
    </row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7:D27"/>
    <mergeCell ref="A23:B23"/>
    <mergeCell ref="C23:E23"/>
    <mergeCell ref="A24:B24"/>
    <mergeCell ref="C24:E24"/>
    <mergeCell ref="A25:B25"/>
    <mergeCell ref="C25:E25"/>
  </mergeCells>
  <hyperlinks>
    <hyperlink ref="C27" r:id="rId1" xr:uid="{99C3FB3C-B6FA-49CC-885D-9F433AA0C7A2}"/>
  </hyperlinks>
  <pageMargins left="0.31496062992125984" right="0.11811023622047245" top="0.78740157480314965" bottom="0.78740157480314965" header="0" footer="0"/>
  <pageSetup paperSize="9" orientation="landscape" r:id="rId2"/>
  <drawing r:id="rId3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000"/>
  <sheetViews>
    <sheetView workbookViewId="0"/>
  </sheetViews>
  <sheetFormatPr defaultColWidth="14.42578125" defaultRowHeight="15" customHeight="1"/>
  <cols>
    <col min="1" max="1" width="15.85546875" customWidth="1"/>
    <col min="2" max="2" width="34.5703125" customWidth="1"/>
    <col min="3" max="26" width="9.85546875" customWidth="1"/>
  </cols>
  <sheetData>
    <row r="2" spans="1:9" ht="6.75" customHeight="1">
      <c r="A2" s="3"/>
      <c r="B2" s="3"/>
      <c r="C2" s="3"/>
      <c r="D2" s="3"/>
      <c r="E2" s="3"/>
      <c r="F2" s="3"/>
      <c r="G2" s="3"/>
      <c r="H2" s="3"/>
      <c r="I2" s="3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4" spans="1:9" ht="46.5" customHeight="1">
      <c r="A4" s="4"/>
      <c r="B4" s="4"/>
      <c r="C4" s="4"/>
      <c r="D4" s="4"/>
      <c r="E4" s="4"/>
      <c r="F4" s="4"/>
      <c r="G4" s="4"/>
      <c r="H4" s="4"/>
      <c r="I4" s="4"/>
    </row>
    <row r="5" spans="1:9" ht="6.75" customHeight="1">
      <c r="A5" s="3"/>
      <c r="B5" s="3"/>
      <c r="C5" s="3"/>
      <c r="D5" s="3"/>
      <c r="E5" s="3"/>
      <c r="F5" s="3"/>
      <c r="G5" s="3"/>
      <c r="H5" s="3"/>
      <c r="I5" s="3"/>
    </row>
    <row r="9" spans="1:9" ht="15.75">
      <c r="A9" s="5" t="s">
        <v>7</v>
      </c>
      <c r="B9" s="6"/>
    </row>
    <row r="10" spans="1:9" ht="15.75">
      <c r="A10" s="7" t="s">
        <v>18</v>
      </c>
      <c r="B10" s="8" t="e">
        <f>VLOOKUP(B9,'Lista de filmes'!$A$16:$G$21,3,0)</f>
        <v>#N/A</v>
      </c>
    </row>
    <row r="11" spans="1:9" ht="44.25" customHeight="1">
      <c r="A11" s="7" t="s">
        <v>19</v>
      </c>
      <c r="B11" s="9" t="e">
        <f>VLOOKUP(B9,'Lista de filmes'!$A$16:$G$21,5,0)</f>
        <v>#N/A</v>
      </c>
    </row>
    <row r="12" spans="1:9" ht="15.75">
      <c r="A12" s="10" t="s">
        <v>20</v>
      </c>
      <c r="B12" s="8" t="e">
        <f>VLOOKUP(B9,'Lista de filmes'!$A$16:$G$21,7,0)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 de filmes</vt:lpstr>
      <vt:lpstr>Pesquisar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2026-02-03T18:43:53Z</dcterms:created>
  <dcterms:modified xsi:type="dcterms:W3CDTF">2026-02-03T18:44:16Z</dcterms:modified>
</cp:coreProperties>
</file>